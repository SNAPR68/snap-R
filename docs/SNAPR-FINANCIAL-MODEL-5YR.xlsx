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" sheetId="1" state="visible" r:id="rId1"/>
    <sheet xmlns:r="http://schemas.openxmlformats.org/officeDocument/2006/relationships" name="Revenue Model" sheetId="2" state="visible" r:id="rId2"/>
    <sheet xmlns:r="http://schemas.openxmlformats.org/officeDocument/2006/relationships" name="User Growth" sheetId="3" state="visible" r:id="rId3"/>
    <sheet xmlns:r="http://schemas.openxmlformats.org/officeDocument/2006/relationships" name="COGS Detail" sheetId="4" state="visible" r:id="rId4"/>
    <sheet xmlns:r="http://schemas.openxmlformats.org/officeDocument/2006/relationships" name="OpEx Detail" sheetId="5" state="visible" r:id="rId5"/>
    <sheet xmlns:r="http://schemas.openxmlformats.org/officeDocument/2006/relationships" name="Unit Economics" sheetId="6" state="visible" r:id="rId6"/>
    <sheet xmlns:r="http://schemas.openxmlformats.org/officeDocument/2006/relationships" name="Valuation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Pricing Grid" sheetId="9" state="visible" r:id="rId9"/>
    <sheet xmlns:r="http://schemas.openxmlformats.org/officeDocument/2006/relationships" name="Cash Flo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;($#,##0);&quot;-&quot;"/>
    <numFmt numFmtId="165" formatCode="0.0%"/>
    <numFmt numFmtId="166" formatCode="$#,##0"/>
    <numFmt numFmtId="167" formatCode="$#,##0.00"/>
    <numFmt numFmtId="168" formatCode="0.0&quot;x&quot;"/>
    <numFmt numFmtId="169" formatCode="0.0"/>
    <numFmt numFmtId="170" formatCode="$#,##0.0"/>
  </numFmts>
  <fonts count="10">
    <font>
      <name val="Calibri"/>
      <family val="2"/>
      <color theme="1"/>
      <sz val="11"/>
      <scheme val="minor"/>
    </font>
    <font>
      <name val="Arial"/>
      <b val="1"/>
      <color rgb="00D4A017"/>
      <sz val="14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D4A017"/>
      <sz val="10"/>
    </font>
    <font>
      <name val="Arial"/>
      <color rgb="00008000"/>
      <sz val="10"/>
    </font>
    <font>
      <name val="Arial"/>
      <color rgb="00CC0000"/>
      <sz val="10"/>
    </font>
    <font>
      <name val="Arial"/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D4A017"/>
      </patternFill>
    </fill>
    <fill>
      <patternFill patternType="solid">
        <fgColor rgb="002D2D2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wrapText="1"/>
    </xf>
    <xf numFmtId="0" fontId="3" fillId="0" borderId="1" pivotButton="0" quotePrefix="0" xfId="0"/>
    <xf numFmtId="164" fontId="4" fillId="0" borderId="1" applyAlignment="1" pivotButton="0" quotePrefix="0" xfId="0">
      <alignment horizontal="right"/>
    </xf>
    <xf numFmtId="0" fontId="4" fillId="0" borderId="1" pivotButton="0" quotePrefix="0" xfId="0"/>
    <xf numFmtId="164" fontId="3" fillId="0" borderId="1" applyAlignment="1" pivotButton="0" quotePrefix="0" xfId="0">
      <alignment horizontal="right"/>
    </xf>
    <xf numFmtId="0" fontId="5" fillId="0" borderId="1" pivotButton="0" quotePrefix="0" xfId="0"/>
    <xf numFmtId="165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6" fillId="4" borderId="1" applyAlignment="1" pivotButton="0" quotePrefix="0" xfId="0">
      <alignment horizontal="center"/>
    </xf>
    <xf numFmtId="3" fontId="4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166" fontId="3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167" fontId="5" fillId="0" borderId="1" applyAlignment="1" pivotButton="0" quotePrefix="0" xfId="0">
      <alignment horizontal="right"/>
    </xf>
    <xf numFmtId="167" fontId="3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7" fillId="0" borderId="1" pivotButton="0" quotePrefix="0" xfId="0"/>
    <xf numFmtId="166" fontId="7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168" fontId="3" fillId="0" borderId="1" applyAlignment="1" pivotButton="0" quotePrefix="0" xfId="0">
      <alignment horizontal="right"/>
    </xf>
    <xf numFmtId="169" fontId="5" fillId="0" borderId="1" applyAlignment="1" pivotButton="0" quotePrefix="0" xfId="0">
      <alignment horizontal="right"/>
    </xf>
    <xf numFmtId="170" fontId="5" fillId="0" borderId="1" applyAlignment="1" pivotButton="0" quotePrefix="0" xfId="0">
      <alignment horizontal="right"/>
    </xf>
    <xf numFmtId="168" fontId="5" fillId="0" borderId="1" applyAlignment="1" pivotButton="0" quotePrefix="0" xfId="0">
      <alignment horizontal="right"/>
    </xf>
    <xf numFmtId="165" fontId="4" fillId="0" borderId="1" pivotButton="0" quotePrefix="0" xfId="0"/>
    <xf numFmtId="170" fontId="4" fillId="0" borderId="1" applyAlignment="1" pivotButton="0" quotePrefix="0" xfId="0">
      <alignment horizontal="right"/>
    </xf>
    <xf numFmtId="166" fontId="4" fillId="0" borderId="1" pivotButton="0" quotePrefix="0" xfId="0"/>
    <xf numFmtId="0" fontId="5" fillId="0" borderId="0" pivotButton="0" quotePrefix="0" xfId="0"/>
    <xf numFmtId="0" fontId="3" fillId="0" borderId="0" pivotButton="0" quotePrefix="0" xfId="0"/>
    <xf numFmtId="0" fontId="8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right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SnapR - 5-Year P&amp;L Summary ($000s)</t>
        </is>
      </c>
    </row>
    <row r="2">
      <c r="A2" s="2" t="inlineStr"/>
      <c r="B2" s="2" t="inlineStr">
        <is>
          <t>Y1 (2026)</t>
        </is>
      </c>
      <c r="C2" s="2" t="inlineStr">
        <is>
          <t>Y2 (2027)</t>
        </is>
      </c>
      <c r="D2" s="2" t="inlineStr">
        <is>
          <t>Y3 (2028)</t>
        </is>
      </c>
      <c r="E2" s="2" t="inlineStr">
        <is>
          <t>Y4 (2029)</t>
        </is>
      </c>
      <c r="F2" s="2" t="inlineStr">
        <is>
          <t>Y5 (2030)</t>
        </is>
      </c>
    </row>
    <row r="3">
      <c r="A3" s="3" t="inlineStr">
        <is>
          <t>Revenue</t>
        </is>
      </c>
      <c r="B3" s="4" t="n">
        <v>265</v>
      </c>
      <c r="C3" s="4" t="n">
        <v>1428</v>
      </c>
      <c r="D3" s="4" t="n">
        <v>5231</v>
      </c>
      <c r="E3" s="4" t="n">
        <v>14150</v>
      </c>
      <c r="F3" s="4" t="n">
        <v>32774</v>
      </c>
    </row>
    <row r="4">
      <c r="A4" s="5" t="inlineStr">
        <is>
          <t>COGS</t>
        </is>
      </c>
      <c r="B4" s="4" t="n">
        <v>41</v>
      </c>
      <c r="C4" s="4" t="n">
        <v>160</v>
      </c>
      <c r="D4" s="4" t="n">
        <v>572</v>
      </c>
      <c r="E4" s="4" t="n">
        <v>1495</v>
      </c>
      <c r="F4" s="4" t="n">
        <v>3337</v>
      </c>
    </row>
    <row r="5">
      <c r="A5" s="3" t="inlineStr">
        <is>
          <t>Gross Profit</t>
        </is>
      </c>
      <c r="B5" s="6">
        <f>B3-B4</f>
        <v/>
      </c>
      <c r="C5" s="6">
        <f>C3-C4</f>
        <v/>
      </c>
      <c r="D5" s="6">
        <f>D3-D4</f>
        <v/>
      </c>
      <c r="E5" s="6">
        <f>E3-E4</f>
        <v/>
      </c>
      <c r="F5" s="6">
        <f>F3-F4</f>
        <v/>
      </c>
    </row>
    <row r="6">
      <c r="A6" s="7" t="inlineStr">
        <is>
          <t>Gross Margin %</t>
        </is>
      </c>
      <c r="B6" s="8">
        <f>IF(B3=0,0,B5/B3)</f>
        <v/>
      </c>
      <c r="C6" s="8">
        <f>IF(C3=0,0,C5/C3)</f>
        <v/>
      </c>
      <c r="D6" s="8">
        <f>IF(D3=0,0,D5/D3)</f>
        <v/>
      </c>
      <c r="E6" s="8">
        <f>IF(E3=0,0,E5/E3)</f>
        <v/>
      </c>
      <c r="F6" s="8">
        <f>IF(F3=0,0,F5/F3)</f>
        <v/>
      </c>
    </row>
    <row r="8">
      <c r="A8" s="5" t="inlineStr">
        <is>
          <t>Operating Expenses</t>
        </is>
      </c>
      <c r="B8" s="4" t="n">
        <v>278</v>
      </c>
      <c r="C8" s="4" t="n">
        <v>1434</v>
      </c>
      <c r="D8" s="4" t="n">
        <v>3826</v>
      </c>
      <c r="E8" s="4" t="n">
        <v>7707</v>
      </c>
      <c r="F8" s="4" t="n">
        <v>13139</v>
      </c>
    </row>
    <row r="9">
      <c r="A9" s="3" t="inlineStr">
        <is>
          <t>EBITDA</t>
        </is>
      </c>
      <c r="B9" s="6">
        <f>B5-B8</f>
        <v/>
      </c>
      <c r="C9" s="6">
        <f>C5-C8</f>
        <v/>
      </c>
      <c r="D9" s="6">
        <f>D5-D8</f>
        <v/>
      </c>
      <c r="E9" s="6">
        <f>E5-E8</f>
        <v/>
      </c>
      <c r="F9" s="6">
        <f>F5-F8</f>
        <v/>
      </c>
    </row>
    <row r="10">
      <c r="A10" s="7" t="inlineStr">
        <is>
          <t>EBITDA Margin %</t>
        </is>
      </c>
      <c r="B10" s="8">
        <f>IF(B3=0,0,B9/B3)</f>
        <v/>
      </c>
      <c r="C10" s="8">
        <f>IF(C3=0,0,C9/C3)</f>
        <v/>
      </c>
      <c r="D10" s="8">
        <f>IF(D3=0,0,D9/D3)</f>
        <v/>
      </c>
      <c r="E10" s="8">
        <f>IF(E3=0,0,E9/E3)</f>
        <v/>
      </c>
      <c r="F10" s="8">
        <f>IF(F3=0,0,F9/F3)</f>
        <v/>
      </c>
    </row>
    <row r="11">
      <c r="A11" s="7" t="inlineStr">
        <is>
          <t>Tax (25% on positive income)</t>
        </is>
      </c>
      <c r="B11" s="9">
        <f>IF(B9&gt;0,-B9*0.25,0)</f>
        <v/>
      </c>
      <c r="C11" s="9">
        <f>IF(C9&gt;0,-C9*0.25,0)</f>
        <v/>
      </c>
      <c r="D11" s="9">
        <f>IF(D9&gt;0,-D9*0.25,0)</f>
        <v/>
      </c>
      <c r="E11" s="9">
        <f>IF(E9&gt;0,-E9*0.25,0)</f>
        <v/>
      </c>
      <c r="F11" s="9">
        <f>IF(F9&gt;0,-F9*0.25,0)</f>
        <v/>
      </c>
    </row>
    <row r="12">
      <c r="A12" s="3" t="inlineStr">
        <is>
          <t>Net Income</t>
        </is>
      </c>
      <c r="B12" s="6">
        <f>B9+B11</f>
        <v/>
      </c>
      <c r="C12" s="6">
        <f>C9+C11</f>
        <v/>
      </c>
      <c r="D12" s="6">
        <f>D9+D11</f>
        <v/>
      </c>
      <c r="E12" s="6">
        <f>E9+E11</f>
        <v/>
      </c>
      <c r="F12" s="6">
        <f>F9+F11</f>
        <v/>
      </c>
    </row>
    <row r="14">
      <c r="A14" s="7" t="inlineStr">
        <is>
          <t>YoY Revenue Growth</t>
        </is>
      </c>
      <c r="B14" s="10" t="inlineStr">
        <is>
          <t>N/A</t>
        </is>
      </c>
      <c r="C14" s="8">
        <f>IF(B3=0,0,(C3-B3)/B3)</f>
        <v/>
      </c>
      <c r="D14" s="8">
        <f>IF(C3=0,0,(D3-C3)/C3)</f>
        <v/>
      </c>
      <c r="E14" s="8">
        <f>IF(D3=0,0,(E3-D3)/D3)</f>
        <v/>
      </c>
      <c r="F14" s="8">
        <f>IF(E3=0,0,(F3-E3)/E3)</f>
        <v/>
      </c>
    </row>
    <row r="15">
      <c r="A15" s="7" t="inlineStr">
        <is>
          <t>Rule of 40 Score</t>
        </is>
      </c>
      <c r="B15" s="10" t="inlineStr">
        <is>
          <t>N/A</t>
        </is>
      </c>
      <c r="C15" s="8">
        <f>IF(B3=0,0,(C3-B3)/B3)+IF(C3=0,0,C9/C3)</f>
        <v/>
      </c>
      <c r="D15" s="8">
        <f>IF(C3=0,0,(D3-C3)/C3)+IF(D3=0,0,D9/D3)</f>
        <v/>
      </c>
      <c r="E15" s="8">
        <f>IF(D3=0,0,(E3-D3)/D3)+IF(E3=0,0,E9/E3)</f>
        <v/>
      </c>
      <c r="F15" s="8">
        <f>IF(E3=0,0,(F3-E3)/E3)+IF(F3=0,0,F9/F3)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SnapR - Revenue Model ($000s)</t>
        </is>
      </c>
    </row>
    <row r="2">
      <c r="A2" s="2" t="inlineStr"/>
      <c r="B2" s="2" t="inlineStr">
        <is>
          <t>Y1 (2026)</t>
        </is>
      </c>
      <c r="C2" s="2" t="inlineStr">
        <is>
          <t>Y2 (2027)</t>
        </is>
      </c>
      <c r="D2" s="2" t="inlineStr">
        <is>
          <t>Y3 (2028)</t>
        </is>
      </c>
      <c r="E2" s="2" t="inlineStr">
        <is>
          <t>Y4 (2029)</t>
        </is>
      </c>
      <c r="F2" s="2" t="inlineStr">
        <is>
          <t>Y5 (2030)</t>
        </is>
      </c>
    </row>
    <row r="3">
      <c r="A3" s="11" t="inlineStr">
        <is>
          <t>SUBSCRIPTION REVENUE</t>
        </is>
      </c>
      <c r="B3" s="11" t="n"/>
      <c r="C3" s="11" t="n"/>
      <c r="D3" s="11" t="n"/>
      <c r="E3" s="11" t="n"/>
      <c r="F3" s="11" t="n"/>
    </row>
    <row r="4">
      <c r="A4" s="5" t="inlineStr">
        <is>
          <t>Avg Paid Accounts (mid-year)</t>
        </is>
      </c>
      <c r="B4" s="12" t="n">
        <v>60</v>
      </c>
      <c r="C4" s="12" t="n">
        <v>275</v>
      </c>
      <c r="D4" s="12" t="n">
        <v>865</v>
      </c>
      <c r="E4" s="12" t="n">
        <v>2200</v>
      </c>
      <c r="F4" s="12" t="n">
        <v>4800</v>
      </c>
    </row>
    <row r="5">
      <c r="A5" s="5" t="inlineStr">
        <is>
          <t>Blended ARPU/mo</t>
        </is>
      </c>
      <c r="B5" s="13" t="n">
        <v>349</v>
      </c>
      <c r="C5" s="13" t="n">
        <v>395</v>
      </c>
      <c r="D5" s="13" t="n">
        <v>444</v>
      </c>
      <c r="E5" s="13" t="n">
        <v>459</v>
      </c>
      <c r="F5" s="13" t="n">
        <v>469</v>
      </c>
    </row>
    <row r="6">
      <c r="A6" s="3" t="inlineStr">
        <is>
          <t>Subscription Revenue ($000s)</t>
        </is>
      </c>
      <c r="B6" s="14">
        <f>ROUND(B4*B5*12/1000,0)</f>
        <v/>
      </c>
      <c r="C6" s="14">
        <f>ROUND(C4*C5*12/1000,0)</f>
        <v/>
      </c>
      <c r="D6" s="14">
        <f>ROUND(D4*D5*12/1000,0)</f>
        <v/>
      </c>
      <c r="E6" s="14">
        <f>ROUND(E4*E5*12/1000,0)</f>
        <v/>
      </c>
      <c r="F6" s="14">
        <f>ROUND(F4*F5*12/1000,0)</f>
        <v/>
      </c>
    </row>
    <row r="8">
      <c r="A8" s="11" t="inlineStr">
        <is>
          <t>ADD-ON REVENUE</t>
        </is>
      </c>
      <c r="B8" s="11" t="n"/>
      <c r="C8" s="11" t="n"/>
      <c r="D8" s="11" t="n"/>
      <c r="E8" s="11" t="n"/>
      <c r="F8" s="11" t="n"/>
    </row>
    <row r="9">
      <c r="A9" s="5" t="inlineStr">
        <is>
          <t>Add-on Attach Rate</t>
        </is>
      </c>
      <c r="B9" s="15" t="n">
        <v>0.1</v>
      </c>
      <c r="C9" s="15" t="n">
        <v>0.15</v>
      </c>
      <c r="D9" s="15" t="n">
        <v>0.2</v>
      </c>
      <c r="E9" s="15" t="n">
        <v>0.22</v>
      </c>
      <c r="F9" s="15" t="n">
        <v>0.25</v>
      </c>
    </row>
    <row r="10">
      <c r="A10" s="5" t="inlineStr">
        <is>
          <t>Avg Add-on Spend/mo/user</t>
        </is>
      </c>
      <c r="B10" s="13" t="n">
        <v>20</v>
      </c>
      <c r="C10" s="13" t="n">
        <v>25</v>
      </c>
      <c r="D10" s="13" t="n">
        <v>30</v>
      </c>
      <c r="E10" s="13" t="n">
        <v>35</v>
      </c>
      <c r="F10" s="13" t="n">
        <v>40</v>
      </c>
    </row>
    <row r="11">
      <c r="A11" s="3" t="inlineStr">
        <is>
          <t>Add-on Revenue ($000s)</t>
        </is>
      </c>
      <c r="B11" s="14">
        <f>ROUND(B4*B9*B10*12/1000,0)</f>
        <v/>
      </c>
      <c r="C11" s="14">
        <f>ROUND(C4*C9*C10*12/1000,0)</f>
        <v/>
      </c>
      <c r="D11" s="14">
        <f>ROUND(D4*D9*D10*12/1000,0)</f>
        <v/>
      </c>
      <c r="E11" s="14">
        <f>ROUND(E4*E9*E10*12/1000,0)</f>
        <v/>
      </c>
      <c r="F11" s="14">
        <f>ROUND(F4*F9*F10*12/1000,0)</f>
        <v/>
      </c>
    </row>
    <row r="13">
      <c r="A13" s="11" t="inlineStr">
        <is>
          <t>TOTAL</t>
        </is>
      </c>
      <c r="B13" s="11" t="n"/>
      <c r="C13" s="11" t="n"/>
      <c r="D13" s="11" t="n"/>
      <c r="E13" s="11" t="n"/>
      <c r="F13" s="11" t="n"/>
    </row>
    <row r="14">
      <c r="A14" s="3" t="inlineStr">
        <is>
          <t>Total Revenue ($000s)</t>
        </is>
      </c>
      <c r="B14" s="14">
        <f>B6+B11</f>
        <v/>
      </c>
      <c r="C14" s="14">
        <f>C6+C11</f>
        <v/>
      </c>
      <c r="D14" s="14">
        <f>D6+D11</f>
        <v/>
      </c>
      <c r="E14" s="14">
        <f>E6+E11</f>
        <v/>
      </c>
      <c r="F14" s="14">
        <f>F6+F11</f>
        <v/>
      </c>
    </row>
    <row r="15">
      <c r="A15" s="5" t="inlineStr">
        <is>
          <t>End-of-Year Paid Accounts</t>
        </is>
      </c>
      <c r="B15" s="12" t="n">
        <v>120</v>
      </c>
      <c r="C15" s="12" t="n">
        <v>430</v>
      </c>
      <c r="D15" s="12" t="n">
        <v>1300</v>
      </c>
      <c r="E15" s="12" t="n">
        <v>3100</v>
      </c>
      <c r="F15" s="12" t="n">
        <v>6500</v>
      </c>
    </row>
    <row r="16">
      <c r="A16" s="3" t="inlineStr">
        <is>
          <t>ARR ($000s)</t>
        </is>
      </c>
      <c r="B16" s="14">
        <f>ROUND(B15*B5*12/1000,0)</f>
        <v/>
      </c>
      <c r="C16" s="14">
        <f>ROUND(C15*C5*12/1000,0)</f>
        <v/>
      </c>
      <c r="D16" s="14">
        <f>ROUND(D15*D5*12/1000,0)</f>
        <v/>
      </c>
      <c r="E16" s="14">
        <f>ROUND(E15*E5*12/1000,0)</f>
        <v/>
      </c>
      <c r="F16" s="14">
        <f>ROUND(F15*F5*12/1000,0)</f>
        <v/>
      </c>
    </row>
    <row r="17">
      <c r="A17" s="7" t="inlineStr">
        <is>
          <t>YoY Revenue Growth</t>
        </is>
      </c>
      <c r="B17" s="10" t="inlineStr">
        <is>
          <t>N/A</t>
        </is>
      </c>
      <c r="C17" s="8">
        <f>IF(B14=0,0,(C14-B14)/B14)</f>
        <v/>
      </c>
      <c r="D17" s="8">
        <f>IF(C14=0,0,(D14-C14)/C14)</f>
        <v/>
      </c>
      <c r="E17" s="8">
        <f>IF(D14=0,0,(E14-D14)/D14)</f>
        <v/>
      </c>
      <c r="F17" s="8">
        <f>IF(E14=0,0,(F14-E14)/E14)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</sheetPr>
  <dimension ref="A1:F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SnapR - User Growth Model</t>
        </is>
      </c>
    </row>
    <row r="2">
      <c r="A2" s="2" t="inlineStr"/>
      <c r="B2" s="2" t="inlineStr">
        <is>
          <t>Y1 (2026)</t>
        </is>
      </c>
      <c r="C2" s="2" t="inlineStr">
        <is>
          <t>Y2 (2027)</t>
        </is>
      </c>
      <c r="D2" s="2" t="inlineStr">
        <is>
          <t>Y3 (2028)</t>
        </is>
      </c>
      <c r="E2" s="2" t="inlineStr">
        <is>
          <t>Y4 (2029)</t>
        </is>
      </c>
      <c r="F2" s="2" t="inlineStr">
        <is>
          <t>Y5 (2030)</t>
        </is>
      </c>
    </row>
    <row r="3">
      <c r="A3" s="5" t="inlineStr">
        <is>
          <t>Total Signups (free + paid)</t>
        </is>
      </c>
      <c r="B3" s="12" t="n">
        <v>2500</v>
      </c>
      <c r="C3" s="12" t="n">
        <v>7000</v>
      </c>
      <c r="D3" s="12" t="n">
        <v>16000</v>
      </c>
      <c r="E3" s="12" t="n">
        <v>30000</v>
      </c>
      <c r="F3" s="12" t="n">
        <v>50000</v>
      </c>
    </row>
    <row r="4">
      <c r="A4" s="5" t="inlineStr">
        <is>
          <t>Free -&gt; Paid Conversion</t>
        </is>
      </c>
      <c r="B4" s="15" t="n">
        <v>0.08</v>
      </c>
      <c r="C4" s="15" t="n">
        <v>0.1</v>
      </c>
      <c r="D4" s="15" t="n">
        <v>0.12</v>
      </c>
      <c r="E4" s="15" t="n">
        <v>0.13</v>
      </c>
      <c r="F4" s="15" t="n">
        <v>0.14</v>
      </c>
    </row>
    <row r="5">
      <c r="A5" s="5" t="inlineStr">
        <is>
          <t>New Paid Accounts (year)</t>
        </is>
      </c>
      <c r="B5" s="12" t="n">
        <v>200</v>
      </c>
      <c r="C5" s="12" t="n">
        <v>700</v>
      </c>
      <c r="D5" s="12" t="n">
        <v>1920</v>
      </c>
      <c r="E5" s="12" t="n">
        <v>3900</v>
      </c>
      <c r="F5" s="12" t="n">
        <v>7000</v>
      </c>
    </row>
    <row r="6">
      <c r="A6" s="5" t="inlineStr">
        <is>
          <t>Monthly Churn Rate</t>
        </is>
      </c>
      <c r="B6" s="15" t="n">
        <v>0.07000000000000001</v>
      </c>
      <c r="C6" s="15" t="n">
        <v>0.055</v>
      </c>
      <c r="D6" s="15" t="n">
        <v>0.045</v>
      </c>
      <c r="E6" s="15" t="n">
        <v>0.04</v>
      </c>
      <c r="F6" s="15" t="n">
        <v>0.035</v>
      </c>
    </row>
    <row r="7">
      <c r="A7" s="7" t="inlineStr">
        <is>
          <t>Annual Churn Rate</t>
        </is>
      </c>
      <c r="B7" s="8">
        <f>1-(1-B6)^12</f>
        <v/>
      </c>
      <c r="C7" s="8">
        <f>1-(1-C6)^12</f>
        <v/>
      </c>
      <c r="D7" s="8">
        <f>1-(1-D6)^12</f>
        <v/>
      </c>
      <c r="E7" s="8">
        <f>1-(1-E6)^12</f>
        <v/>
      </c>
      <c r="F7" s="8">
        <f>1-(1-F6)^12</f>
        <v/>
      </c>
    </row>
    <row r="8">
      <c r="A8" s="3" t="inlineStr">
        <is>
          <t>End-of-Year Paid Accounts</t>
        </is>
      </c>
      <c r="B8" s="16" t="n">
        <v>120</v>
      </c>
      <c r="C8" s="16" t="n">
        <v>430</v>
      </c>
      <c r="D8" s="16" t="n">
        <v>1300</v>
      </c>
      <c r="E8" s="16" t="n">
        <v>3100</v>
      </c>
      <c r="F8" s="16" t="n">
        <v>6500</v>
      </c>
    </row>
    <row r="9">
      <c r="A9" s="7" t="inlineStr">
        <is>
          <t>Net New Accounts (year)</t>
        </is>
      </c>
      <c r="B9" s="17" t="n">
        <v>120</v>
      </c>
      <c r="C9" s="17">
        <f>C8-B8</f>
        <v/>
      </c>
      <c r="D9" s="17">
        <f>D8-C8</f>
        <v/>
      </c>
      <c r="E9" s="17">
        <f>E8-D8</f>
        <v/>
      </c>
      <c r="F9" s="17">
        <f>F8-E8</f>
        <v/>
      </c>
    </row>
    <row r="11">
      <c r="A11" s="11" t="inlineStr">
        <is>
          <t>ACQUISITION CHANNELS</t>
        </is>
      </c>
      <c r="B11" s="11" t="n"/>
      <c r="C11" s="11" t="n"/>
      <c r="D11" s="11" t="n"/>
      <c r="E11" s="11" t="n"/>
      <c r="F11" s="11" t="n"/>
    </row>
    <row r="12">
      <c r="A12" s="2" t="inlineStr">
        <is>
          <t>Channel</t>
        </is>
      </c>
      <c r="B12" s="2" t="inlineStr">
        <is>
          <t>% of Signups</t>
        </is>
      </c>
      <c r="C12" s="2" t="inlineStr">
        <is>
          <t>CAC</t>
        </is>
      </c>
      <c r="D12" t="inlineStr"/>
      <c r="E12" t="inlineStr"/>
      <c r="F12" t="inlineStr"/>
    </row>
    <row r="13">
      <c r="A13" s="5" t="inlineStr">
        <is>
          <t>Organic/SEO/Content</t>
        </is>
      </c>
      <c r="B13" s="15" t="n">
        <v>0.35</v>
      </c>
      <c r="C13" s="13" t="n">
        <v>15</v>
      </c>
    </row>
    <row r="14">
      <c r="A14" s="5" t="inlineStr">
        <is>
          <t>Paid Ads (Google/Meta)</t>
        </is>
      </c>
      <c r="B14" s="15" t="n">
        <v>0.25</v>
      </c>
      <c r="C14" s="13" t="n">
        <v>120</v>
      </c>
    </row>
    <row r="15">
      <c r="A15" s="5" t="inlineStr">
        <is>
          <t>Partnerships (MLS, boards)</t>
        </is>
      </c>
      <c r="B15" s="15" t="n">
        <v>0.2</v>
      </c>
      <c r="C15" s="13" t="n">
        <v>40</v>
      </c>
    </row>
    <row r="16">
      <c r="A16" s="5" t="inlineStr">
        <is>
          <t>Referral/Word-of-mouth</t>
        </is>
      </c>
      <c r="B16" s="15" t="n">
        <v>0.15</v>
      </c>
      <c r="C16" s="13" t="n">
        <v>8</v>
      </c>
    </row>
    <row r="17">
      <c r="A17" s="5" t="inlineStr">
        <is>
          <t>Enterprise Outbound</t>
        </is>
      </c>
      <c r="B17" s="15" t="n">
        <v>0.05</v>
      </c>
      <c r="C17" s="13" t="n">
        <v>500</v>
      </c>
    </row>
    <row r="18">
      <c r="A18" s="3" t="inlineStr">
        <is>
          <t>Blended CAC</t>
        </is>
      </c>
      <c r="B18" s="14">
        <f>SUMPRODUCT(B13:B17,C13:C17)</f>
        <v/>
      </c>
      <c r="C18" s="18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</sheetPr>
  <dimension ref="A1:F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SnapR - COGS Detail ($000s)</t>
        </is>
      </c>
    </row>
    <row r="2">
      <c r="A2" s="2" t="inlineStr"/>
      <c r="B2" s="2" t="inlineStr">
        <is>
          <t>Y1 (2026)</t>
        </is>
      </c>
      <c r="C2" s="2" t="inlineStr">
        <is>
          <t>Y2 (2027)</t>
        </is>
      </c>
      <c r="D2" s="2" t="inlineStr">
        <is>
          <t>Y3 (2028)</t>
        </is>
      </c>
      <c r="E2" s="2" t="inlineStr">
        <is>
          <t>Y4 (2029)</t>
        </is>
      </c>
      <c r="F2" s="2" t="inlineStr">
        <is>
          <t>Y5 (2030)</t>
        </is>
      </c>
    </row>
    <row r="3">
      <c r="A3" s="11" t="inlineStr">
        <is>
          <t>PER-LISTING VARIABLE COST</t>
        </is>
      </c>
      <c r="B3" s="11" t="n"/>
      <c r="C3" s="11" t="n"/>
      <c r="D3" s="11" t="n"/>
      <c r="E3" s="11" t="n"/>
      <c r="F3" s="11" t="n"/>
    </row>
    <row r="4">
      <c r="A4" s="7" t="inlineStr">
        <is>
          <t>AI Enhancement (20 photos x $0.04)</t>
        </is>
      </c>
      <c r="B4" s="19" t="n">
        <v>0.8</v>
      </c>
    </row>
    <row r="5">
      <c r="A5" s="7" t="inlineStr">
        <is>
          <t>Marketing Pipeline (GPT-4o + mini)</t>
        </is>
      </c>
      <c r="B5" s="19" t="n">
        <v>0.27</v>
      </c>
    </row>
    <row r="6">
      <c r="A6" s="7" t="inlineStr">
        <is>
          <t>Video Render (Lambda, 40% opt-in)</t>
        </is>
      </c>
      <c r="B6" s="19" t="n">
        <v>0.6</v>
      </c>
    </row>
    <row r="7">
      <c r="A7" s="7" t="inlineStr">
        <is>
          <t>Voiceover (TTS, 20% opt-in)</t>
        </is>
      </c>
      <c r="B7" s="19" t="n">
        <v>0.03</v>
      </c>
    </row>
    <row r="8">
      <c r="A8" s="7" t="inlineStr">
        <is>
          <t>CDN/Storage</t>
        </is>
      </c>
      <c r="B8" s="19" t="n">
        <v>0.05</v>
      </c>
    </row>
    <row r="9">
      <c r="A9" s="3" t="inlineStr">
        <is>
          <t>Total Variable COGS/Listing</t>
        </is>
      </c>
      <c r="B9" s="20">
        <f>SUM(B4:B8)</f>
        <v/>
      </c>
    </row>
    <row r="11">
      <c r="A11" s="11" t="inlineStr">
        <is>
          <t>ANNUAL COGS ($000s)</t>
        </is>
      </c>
      <c r="B11" s="11" t="n"/>
      <c r="C11" s="11" t="n"/>
      <c r="D11" s="11" t="n"/>
      <c r="E11" s="11" t="n"/>
      <c r="F11" s="11" t="n"/>
    </row>
    <row r="12">
      <c r="A12" s="2" t="inlineStr"/>
      <c r="B12" s="2" t="inlineStr">
        <is>
          <t>Y1 (2026)</t>
        </is>
      </c>
      <c r="C12" s="2" t="inlineStr">
        <is>
          <t>Y2 (2027)</t>
        </is>
      </c>
      <c r="D12" s="2" t="inlineStr">
        <is>
          <t>Y3 (2028)</t>
        </is>
      </c>
      <c r="E12" s="2" t="inlineStr">
        <is>
          <t>Y4 (2029)</t>
        </is>
      </c>
      <c r="F12" s="2" t="inlineStr">
        <is>
          <t>Y5 (2030)</t>
        </is>
      </c>
    </row>
    <row r="13">
      <c r="A13" s="5" t="inlineStr">
        <is>
          <t>Variable (AI/processing)</t>
        </is>
      </c>
      <c r="B13" s="13" t="n">
        <v>13</v>
      </c>
      <c r="C13" s="13" t="n">
        <v>70</v>
      </c>
      <c r="D13" s="13" t="n">
        <v>272</v>
      </c>
      <c r="E13" s="13" t="n">
        <v>734</v>
      </c>
      <c r="F13" s="13" t="n">
        <v>1680</v>
      </c>
    </row>
    <row r="14">
      <c r="A14" s="5" t="inlineStr">
        <is>
          <t>Fixed Infrastructure</t>
        </is>
      </c>
      <c r="B14" s="13" t="n">
        <v>18</v>
      </c>
      <c r="C14" s="13" t="n">
        <v>44</v>
      </c>
      <c r="D14" s="13" t="n">
        <v>138</v>
      </c>
      <c r="E14" s="13" t="n">
        <v>336</v>
      </c>
      <c r="F14" s="13" t="n">
        <v>672</v>
      </c>
    </row>
    <row r="15">
      <c r="A15" s="5" t="inlineStr">
        <is>
          <t>Stripe (2.9% + $0.30)</t>
        </is>
      </c>
      <c r="B15" s="13" t="n">
        <v>10</v>
      </c>
      <c r="C15" s="13" t="n">
        <v>46</v>
      </c>
      <c r="D15" s="13" t="n">
        <v>162</v>
      </c>
      <c r="E15" s="13" t="n">
        <v>425</v>
      </c>
      <c r="F15" s="13" t="n">
        <v>985</v>
      </c>
    </row>
    <row r="16">
      <c r="A16" s="3" t="inlineStr">
        <is>
          <t>Total COGS</t>
        </is>
      </c>
      <c r="B16" s="14">
        <f>B13+B14+B15</f>
        <v/>
      </c>
      <c r="C16" s="14">
        <f>C13+C14+C15</f>
        <v/>
      </c>
      <c r="D16" s="14">
        <f>D13+D14+D15</f>
        <v/>
      </c>
      <c r="E16" s="14">
        <f>E13+E14+E15</f>
        <v/>
      </c>
      <c r="F16" s="14">
        <f>F13+F14+F15</f>
        <v/>
      </c>
    </row>
    <row r="17">
      <c r="A17" s="7" t="inlineStr">
        <is>
          <t>Gross Margin %</t>
        </is>
      </c>
      <c r="B17" s="8">
        <f>IF(265=0,0,(265-B16)/265)</f>
        <v/>
      </c>
      <c r="C17" s="8">
        <f>IF(1428=0,0,(1428-C16)/1428)</f>
        <v/>
      </c>
      <c r="D17" s="8">
        <f>IF(5231=0,0,(5231-D16)/5231)</f>
        <v/>
      </c>
      <c r="E17" s="8">
        <f>IF(14150=0,0,(14150-E16)/14150)</f>
        <v/>
      </c>
      <c r="F17" s="8">
        <f>IF(32774=0,0,(32774-F16)/32774)</f>
        <v/>
      </c>
    </row>
    <row r="19">
      <c r="A19" s="11" t="inlineStr">
        <is>
          <t>MONTHLY INFRASTRUCTURE COSTS</t>
        </is>
      </c>
      <c r="B19" s="11" t="n"/>
      <c r="C19" s="11" t="n"/>
      <c r="D19" s="11" t="n"/>
      <c r="E19" s="11" t="n"/>
      <c r="F19" s="11" t="n"/>
    </row>
    <row r="20">
      <c r="A20" s="2" t="inlineStr"/>
      <c r="B20" s="2" t="inlineStr">
        <is>
          <t>Y1 (2026)</t>
        </is>
      </c>
      <c r="C20" s="2" t="inlineStr">
        <is>
          <t>Y2 (2027)</t>
        </is>
      </c>
      <c r="D20" s="2" t="inlineStr">
        <is>
          <t>Y3 (2028)</t>
        </is>
      </c>
      <c r="E20" s="2" t="inlineStr">
        <is>
          <t>Y4 (2029)</t>
        </is>
      </c>
      <c r="F20" s="2" t="inlineStr">
        <is>
          <t>Y5 (2030)</t>
        </is>
      </c>
    </row>
    <row r="21">
      <c r="A21" s="5" t="inlineStr">
        <is>
          <t>Supabase</t>
        </is>
      </c>
      <c r="B21" s="13" t="n">
        <v>500</v>
      </c>
      <c r="C21" s="13" t="n">
        <v>1000</v>
      </c>
      <c r="D21" s="13" t="n">
        <v>2500</v>
      </c>
      <c r="E21" s="13" t="n">
        <v>5000</v>
      </c>
      <c r="F21" s="13" t="n">
        <v>10000</v>
      </c>
    </row>
    <row r="22">
      <c r="A22" s="5" t="inlineStr">
        <is>
          <t>Vercel</t>
        </is>
      </c>
      <c r="B22" s="13" t="n">
        <v>400</v>
      </c>
      <c r="C22" s="13" t="n">
        <v>800</v>
      </c>
      <c r="D22" s="13" t="n">
        <v>2500</v>
      </c>
      <c r="E22" s="13" t="n">
        <v>6000</v>
      </c>
      <c r="F22" s="13" t="n">
        <v>12000</v>
      </c>
    </row>
    <row r="23">
      <c r="A23" s="5" t="inlineStr">
        <is>
          <t>Cloudflare Workers</t>
        </is>
      </c>
      <c r="B23" s="13" t="n">
        <v>100</v>
      </c>
      <c r="C23" s="13" t="n">
        <v>300</v>
      </c>
      <c r="D23" s="13" t="n">
        <v>1000</v>
      </c>
      <c r="E23" s="13" t="n">
        <v>3000</v>
      </c>
      <c r="F23" s="13" t="n">
        <v>6000</v>
      </c>
    </row>
    <row r="24">
      <c r="A24" s="5" t="inlineStr">
        <is>
          <t>Cloudinary CDN</t>
        </is>
      </c>
      <c r="B24" s="13" t="n">
        <v>200</v>
      </c>
      <c r="C24" s="13" t="n">
        <v>600</v>
      </c>
      <c r="D24" s="13" t="n">
        <v>2000</v>
      </c>
      <c r="E24" s="13" t="n">
        <v>5000</v>
      </c>
      <c r="F24" s="13" t="n">
        <v>10000</v>
      </c>
    </row>
    <row r="25">
      <c r="A25" s="5" t="inlineStr">
        <is>
          <t>AWS Lambda (Remotion)</t>
        </is>
      </c>
      <c r="B25" s="13" t="n">
        <v>200</v>
      </c>
      <c r="C25" s="13" t="n">
        <v>800</v>
      </c>
      <c r="D25" s="13" t="n">
        <v>3000</v>
      </c>
      <c r="E25" s="13" t="n">
        <v>8000</v>
      </c>
      <c r="F25" s="13" t="n">
        <v>16000</v>
      </c>
    </row>
    <row r="26">
      <c r="A26" s="5" t="inlineStr">
        <is>
          <t>Monitoring (Sentry)</t>
        </is>
      </c>
      <c r="B26" s="13" t="n">
        <v>100</v>
      </c>
      <c r="C26" s="13" t="n">
        <v>200</v>
      </c>
      <c r="D26" s="13" t="n">
        <v>500</v>
      </c>
      <c r="E26" s="13" t="n">
        <v>1000</v>
      </c>
      <c r="F26" s="13" t="n">
        <v>2000</v>
      </c>
    </row>
    <row r="27">
      <c r="A27" s="3" t="inlineStr">
        <is>
          <t>Monthly Total</t>
        </is>
      </c>
      <c r="B27" s="14">
        <f>SUM(B21:B26)</f>
        <v/>
      </c>
      <c r="C27" s="14">
        <f>SUM(C21:C26)</f>
        <v/>
      </c>
      <c r="D27" s="14">
        <f>SUM(D21:D26)</f>
        <v/>
      </c>
      <c r="E27" s="14">
        <f>SUM(E21:E26)</f>
        <v/>
      </c>
      <c r="F27" s="14">
        <f>SUM(F21:F26)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</sheetPr>
  <dimension ref="A1:G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SnapR - Operating Expenses ($000s)</t>
        </is>
      </c>
      <c r="G1" t="inlineStr"/>
    </row>
    <row r="2">
      <c r="A2" s="2" t="inlineStr"/>
      <c r="B2" s="2" t="inlineStr">
        <is>
          <t>Y1 (2026)</t>
        </is>
      </c>
      <c r="C2" s="2" t="inlineStr">
        <is>
          <t>Y2 (2027)</t>
        </is>
      </c>
      <c r="D2" s="2" t="inlineStr">
        <is>
          <t>Y3 (2028)</t>
        </is>
      </c>
      <c r="E2" s="2" t="inlineStr">
        <is>
          <t>Y4 (2029)</t>
        </is>
      </c>
      <c r="F2" s="2" t="inlineStr">
        <is>
          <t>Y5 (2030)</t>
        </is>
      </c>
      <c r="G2" s="2" t="inlineStr">
        <is>
          <t>Avg Cost/Head</t>
        </is>
      </c>
    </row>
    <row r="3">
      <c r="A3" s="11" t="inlineStr">
        <is>
          <t>HEADCOUNT</t>
        </is>
      </c>
      <c r="B3" s="11" t="n"/>
      <c r="C3" s="11" t="n"/>
      <c r="D3" s="11" t="n"/>
      <c r="E3" s="11" t="n"/>
      <c r="F3" s="11" t="n"/>
      <c r="G3" s="11" t="n"/>
    </row>
    <row r="4">
      <c r="A4" s="5" t="inlineStr">
        <is>
          <t>Founder/CEO</t>
        </is>
      </c>
      <c r="B4" s="12" t="n">
        <v>1</v>
      </c>
      <c r="C4" s="12" t="n">
        <v>1</v>
      </c>
      <c r="D4" s="12" t="n">
        <v>1</v>
      </c>
      <c r="E4" s="12" t="n">
        <v>1</v>
      </c>
      <c r="F4" s="12" t="n">
        <v>1</v>
      </c>
      <c r="G4" s="21" t="inlineStr">
        <is>
          <t>$0-&gt;$150K</t>
        </is>
      </c>
    </row>
    <row r="5">
      <c r="A5" s="5" t="inlineStr">
        <is>
          <t>Engineering</t>
        </is>
      </c>
      <c r="B5" s="12" t="n">
        <v>1</v>
      </c>
      <c r="C5" s="12" t="n">
        <v>3</v>
      </c>
      <c r="D5" s="12" t="n">
        <v>7</v>
      </c>
      <c r="E5" s="12" t="n">
        <v>14</v>
      </c>
      <c r="F5" s="12" t="n">
        <v>22</v>
      </c>
      <c r="G5" s="21" t="inlineStr">
        <is>
          <t>$140K</t>
        </is>
      </c>
    </row>
    <row r="6">
      <c r="A6" s="5" t="inlineStr">
        <is>
          <t>Product/Design</t>
        </is>
      </c>
      <c r="B6" s="12" t="n">
        <v>0</v>
      </c>
      <c r="C6" s="12" t="n">
        <v>1</v>
      </c>
      <c r="D6" s="12" t="n">
        <v>2</v>
      </c>
      <c r="E6" s="12" t="n">
        <v>3</v>
      </c>
      <c r="F6" s="12" t="n">
        <v>5</v>
      </c>
      <c r="G6" s="21" t="inlineStr">
        <is>
          <t>$130K</t>
        </is>
      </c>
    </row>
    <row r="7">
      <c r="A7" s="5" t="inlineStr">
        <is>
          <t>Sales (SDR + AE)</t>
        </is>
      </c>
      <c r="B7" s="12" t="n">
        <v>0</v>
      </c>
      <c r="C7" s="12" t="n">
        <v>1</v>
      </c>
      <c r="D7" s="12" t="n">
        <v>4</v>
      </c>
      <c r="E7" s="12" t="n">
        <v>8</v>
      </c>
      <c r="F7" s="12" t="n">
        <v>14</v>
      </c>
      <c r="G7" s="21" t="inlineStr">
        <is>
          <t>$110K</t>
        </is>
      </c>
    </row>
    <row r="8">
      <c r="A8" s="5" t="inlineStr">
        <is>
          <t>Marketing</t>
        </is>
      </c>
      <c r="B8" s="12" t="n">
        <v>0</v>
      </c>
      <c r="C8" s="12" t="n">
        <v>1</v>
      </c>
      <c r="D8" s="12" t="n">
        <v>3</v>
      </c>
      <c r="E8" s="12" t="n">
        <v>5</v>
      </c>
      <c r="F8" s="12" t="n">
        <v>8</v>
      </c>
      <c r="G8" s="21" t="inlineStr">
        <is>
          <t>$120K</t>
        </is>
      </c>
    </row>
    <row r="9">
      <c r="A9" s="5" t="inlineStr">
        <is>
          <t>Customer Success</t>
        </is>
      </c>
      <c r="B9" s="12" t="n">
        <v>0</v>
      </c>
      <c r="C9" s="12" t="n">
        <v>1</v>
      </c>
      <c r="D9" s="12" t="n">
        <v>2</v>
      </c>
      <c r="E9" s="12" t="n">
        <v>5</v>
      </c>
      <c r="F9" s="12" t="n">
        <v>8</v>
      </c>
      <c r="G9" s="21" t="inlineStr">
        <is>
          <t>$90K</t>
        </is>
      </c>
    </row>
    <row r="10">
      <c r="A10" s="5" t="inlineStr">
        <is>
          <t>G&amp;A (Ops, Finance, HR)</t>
        </is>
      </c>
      <c r="B10" s="12" t="n">
        <v>0</v>
      </c>
      <c r="C10" s="12" t="n">
        <v>0</v>
      </c>
      <c r="D10" s="12" t="n">
        <v>1</v>
      </c>
      <c r="E10" s="12" t="n">
        <v>3</v>
      </c>
      <c r="F10" s="12" t="n">
        <v>5</v>
      </c>
      <c r="G10" s="21" t="inlineStr">
        <is>
          <t>$110K</t>
        </is>
      </c>
    </row>
    <row r="11">
      <c r="A11" s="3" t="inlineStr">
        <is>
          <t>Total Headcount</t>
        </is>
      </c>
      <c r="B11" s="16">
        <f>SUM(B4:B10)</f>
        <v/>
      </c>
      <c r="C11" s="16">
        <f>SUM(C4:C10)</f>
        <v/>
      </c>
      <c r="D11" s="16">
        <f>SUM(D4:D10)</f>
        <v/>
      </c>
      <c r="E11" s="16">
        <f>SUM(E4:E10)</f>
        <v/>
      </c>
      <c r="F11" s="16">
        <f>SUM(F4:F10)</f>
        <v/>
      </c>
      <c r="G11" s="18" t="inlineStr"/>
    </row>
    <row r="13">
      <c r="A13" s="11" t="inlineStr">
        <is>
          <t>EXPENSES ($000s)</t>
        </is>
      </c>
      <c r="B13" s="11" t="n"/>
      <c r="C13" s="11" t="n"/>
      <c r="D13" s="11" t="n"/>
      <c r="E13" s="11" t="n"/>
      <c r="F13" s="11" t="n"/>
      <c r="G13" s="11" t="n"/>
    </row>
    <row r="14">
      <c r="A14" s="2" t="inlineStr"/>
      <c r="B14" s="2" t="inlineStr">
        <is>
          <t>Y1 (2026)</t>
        </is>
      </c>
      <c r="C14" s="2" t="inlineStr">
        <is>
          <t>Y2 (2027)</t>
        </is>
      </c>
      <c r="D14" s="2" t="inlineStr">
        <is>
          <t>Y3 (2028)</t>
        </is>
      </c>
      <c r="E14" s="2" t="inlineStr">
        <is>
          <t>Y4 (2029)</t>
        </is>
      </c>
      <c r="F14" s="2" t="inlineStr">
        <is>
          <t>Y5 (2030)</t>
        </is>
      </c>
    </row>
    <row r="15">
      <c r="A15" s="5" t="inlineStr">
        <is>
          <t>Salaries + Benefits (x1.25)</t>
        </is>
      </c>
      <c r="B15" s="13" t="n">
        <v>175</v>
      </c>
      <c r="C15" s="13" t="n">
        <v>1050</v>
      </c>
      <c r="D15" s="13" t="n">
        <v>2800</v>
      </c>
      <c r="E15" s="13" t="n">
        <v>5600</v>
      </c>
      <c r="F15" s="13" t="n">
        <v>9450</v>
      </c>
    </row>
    <row r="16">
      <c r="A16" s="5" t="inlineStr">
        <is>
          <t>Paid Acquisition</t>
        </is>
      </c>
      <c r="B16" s="13" t="n">
        <v>48</v>
      </c>
      <c r="C16" s="13" t="n">
        <v>210</v>
      </c>
      <c r="D16" s="13" t="n">
        <v>576</v>
      </c>
      <c r="E16" s="13" t="n">
        <v>1170</v>
      </c>
      <c r="F16" s="13" t="n">
        <v>2100</v>
      </c>
    </row>
    <row r="17">
      <c r="A17" s="5" t="inlineStr">
        <is>
          <t>Content/SEO/Events</t>
        </is>
      </c>
      <c r="B17" s="13" t="n">
        <v>15</v>
      </c>
      <c r="C17" s="13" t="n">
        <v>50</v>
      </c>
      <c r="D17" s="13" t="n">
        <v>150</v>
      </c>
      <c r="E17" s="13" t="n">
        <v>300</v>
      </c>
      <c r="F17" s="13" t="n">
        <v>500</v>
      </c>
    </row>
    <row r="18">
      <c r="A18" s="5" t="inlineStr">
        <is>
          <t>Partner Development</t>
        </is>
      </c>
      <c r="B18" s="13" t="n">
        <v>5</v>
      </c>
      <c r="C18" s="13" t="n">
        <v>20</v>
      </c>
      <c r="D18" s="13" t="n">
        <v>60</v>
      </c>
      <c r="E18" s="13" t="n">
        <v>150</v>
      </c>
      <c r="F18" s="13" t="n">
        <v>250</v>
      </c>
    </row>
    <row r="19">
      <c r="A19" s="5" t="inlineStr">
        <is>
          <t>R&amp;D Tools/APIs/Testing</t>
        </is>
      </c>
      <c r="B19" s="13" t="n">
        <v>15</v>
      </c>
      <c r="C19" s="13" t="n">
        <v>30</v>
      </c>
      <c r="D19" s="13" t="n">
        <v>60</v>
      </c>
      <c r="E19" s="13" t="n">
        <v>120</v>
      </c>
      <c r="F19" s="13" t="n">
        <v>200</v>
      </c>
    </row>
    <row r="20">
      <c r="A20" s="5" t="inlineStr">
        <is>
          <t>G&amp;A (legal, accounting, ins)</t>
        </is>
      </c>
      <c r="B20" s="13" t="n">
        <v>20</v>
      </c>
      <c r="C20" s="13" t="n">
        <v>50</v>
      </c>
      <c r="D20" s="13" t="n">
        <v>120</v>
      </c>
      <c r="E20" s="13" t="n">
        <v>250</v>
      </c>
      <c r="F20" s="13" t="n">
        <v>450</v>
      </c>
    </row>
    <row r="21">
      <c r="A21" s="5" t="inlineStr">
        <is>
          <t>Office/Remote Stipend</t>
        </is>
      </c>
      <c r="B21" s="13" t="n">
        <v>0</v>
      </c>
      <c r="C21" s="13" t="n">
        <v>24</v>
      </c>
      <c r="D21" s="13" t="n">
        <v>60</v>
      </c>
      <c r="E21" s="13" t="n">
        <v>117</v>
      </c>
      <c r="F21" s="13" t="n">
        <v>189</v>
      </c>
    </row>
    <row r="22">
      <c r="A22" s="3" t="inlineStr">
        <is>
          <t>Total OpEx</t>
        </is>
      </c>
      <c r="B22" s="14">
        <f>SUM(B15:B21)</f>
        <v/>
      </c>
      <c r="C22" s="14">
        <f>SUM(C15:C21)</f>
        <v/>
      </c>
      <c r="D22" s="14">
        <f>SUM(D15:D21)</f>
        <v/>
      </c>
      <c r="E22" s="14">
        <f>SUM(E15:E21)</f>
        <v/>
      </c>
      <c r="F22" s="14">
        <f>SUM(F15:F21)</f>
        <v/>
      </c>
    </row>
    <row r="23">
      <c r="A23" s="22" t="inlineStr">
        <is>
          <t xml:space="preserve">  -&gt; Total Sales &amp; Marketing</t>
        </is>
      </c>
      <c r="B23" s="23">
        <f>B16+B17+B18</f>
        <v/>
      </c>
      <c r="C23" s="23">
        <f>C16+C17+C18</f>
        <v/>
      </c>
      <c r="D23" s="23">
        <f>D16+D17+D18</f>
        <v/>
      </c>
      <c r="E23" s="23">
        <f>E16+E17+E18</f>
        <v/>
      </c>
      <c r="F23" s="23">
        <f>F16+F17+F18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SnapR - Unit Economics</t>
        </is>
      </c>
    </row>
    <row r="2">
      <c r="A2" s="2" t="inlineStr"/>
      <c r="B2" s="2" t="inlineStr">
        <is>
          <t>Y1 (2026)</t>
        </is>
      </c>
      <c r="C2" s="2" t="inlineStr">
        <is>
          <t>Y2 (2027)</t>
        </is>
      </c>
      <c r="D2" s="2" t="inlineStr">
        <is>
          <t>Y3 (2028)</t>
        </is>
      </c>
      <c r="E2" s="2" t="inlineStr">
        <is>
          <t>Y4 (2029)</t>
        </is>
      </c>
      <c r="F2" s="2" t="inlineStr">
        <is>
          <t>Y5 (2030)</t>
        </is>
      </c>
    </row>
    <row r="3">
      <c r="A3" s="5" t="inlineStr">
        <is>
          <t>Blended CAC</t>
        </is>
      </c>
      <c r="B3" s="13" t="n">
        <v>65</v>
      </c>
      <c r="C3" s="13" t="n">
        <v>60</v>
      </c>
      <c r="D3" s="13" t="n">
        <v>55</v>
      </c>
      <c r="E3" s="13" t="n">
        <v>50</v>
      </c>
      <c r="F3" s="13" t="n">
        <v>48</v>
      </c>
    </row>
    <row r="4">
      <c r="A4" s="5" t="inlineStr">
        <is>
          <t>Monthly ARPU</t>
        </is>
      </c>
      <c r="B4" s="13" t="n">
        <v>349</v>
      </c>
      <c r="C4" s="13" t="n">
        <v>395</v>
      </c>
      <c r="D4" s="13" t="n">
        <v>444</v>
      </c>
      <c r="E4" s="13" t="n">
        <v>459</v>
      </c>
      <c r="F4" s="13" t="n">
        <v>469</v>
      </c>
    </row>
    <row r="5">
      <c r="A5" s="7" t="inlineStr">
        <is>
          <t>Annual Revenue/Account</t>
        </is>
      </c>
      <c r="B5" s="24">
        <f>B4*12</f>
        <v/>
      </c>
      <c r="C5" s="24">
        <f>C4*12</f>
        <v/>
      </c>
      <c r="D5" s="24">
        <f>D4*12</f>
        <v/>
      </c>
      <c r="E5" s="24">
        <f>E4*12</f>
        <v/>
      </c>
      <c r="F5" s="24">
        <f>F4*12</f>
        <v/>
      </c>
    </row>
    <row r="6">
      <c r="A6" s="5" t="inlineStr">
        <is>
          <t>Gross Margin %</t>
        </is>
      </c>
      <c r="B6" s="15" t="n">
        <v>0.85</v>
      </c>
      <c r="C6" s="15" t="n">
        <v>0.89</v>
      </c>
      <c r="D6" s="15" t="n">
        <v>0.89</v>
      </c>
      <c r="E6" s="15" t="n">
        <v>0.89</v>
      </c>
      <c r="F6" s="15" t="n">
        <v>0.9</v>
      </c>
    </row>
    <row r="7">
      <c r="A7" s="7" t="inlineStr">
        <is>
          <t>Gross Margin/Account</t>
        </is>
      </c>
      <c r="B7" s="24">
        <f>B5*B6</f>
        <v/>
      </c>
      <c r="C7" s="24">
        <f>C5*C6</f>
        <v/>
      </c>
      <c r="D7" s="24">
        <f>D5*D6</f>
        <v/>
      </c>
      <c r="E7" s="24">
        <f>E5*E6</f>
        <v/>
      </c>
      <c r="F7" s="24">
        <f>F5*F6</f>
        <v/>
      </c>
    </row>
    <row r="8">
      <c r="A8" s="5" t="inlineStr">
        <is>
          <t>Avg Lifetime (months)</t>
        </is>
      </c>
      <c r="B8" s="12" t="n">
        <v>14</v>
      </c>
      <c r="C8" s="12" t="n">
        <v>18</v>
      </c>
      <c r="D8" s="12" t="n">
        <v>22</v>
      </c>
      <c r="E8" s="12" t="n">
        <v>25</v>
      </c>
      <c r="F8" s="12" t="n">
        <v>29</v>
      </c>
    </row>
    <row r="9">
      <c r="A9" s="3" t="inlineStr">
        <is>
          <t>LTV</t>
        </is>
      </c>
      <c r="B9" s="14">
        <f>B4*B6*B8</f>
        <v/>
      </c>
      <c r="C9" s="14">
        <f>C4*C6*C8</f>
        <v/>
      </c>
      <c r="D9" s="14">
        <f>D4*D6*D8</f>
        <v/>
      </c>
      <c r="E9" s="14">
        <f>E4*E6*E8</f>
        <v/>
      </c>
      <c r="F9" s="14">
        <f>F4*F6*F8</f>
        <v/>
      </c>
    </row>
    <row r="10">
      <c r="A10" s="3" t="inlineStr">
        <is>
          <t>LTV:CAC Ratio</t>
        </is>
      </c>
      <c r="B10" s="25">
        <f>IF(B3=0,0,B9/B3)</f>
        <v/>
      </c>
      <c r="C10" s="25">
        <f>IF(C3=0,0,C9/C3)</f>
        <v/>
      </c>
      <c r="D10" s="25">
        <f>IF(D3=0,0,D9/D3)</f>
        <v/>
      </c>
      <c r="E10" s="25">
        <f>IF(E3=0,0,E9/E3)</f>
        <v/>
      </c>
      <c r="F10" s="25">
        <f>IF(F3=0,0,F9/F3)</f>
        <v/>
      </c>
    </row>
    <row r="11">
      <c r="A11" s="7" t="inlineStr">
        <is>
          <t>CAC Payback (months)</t>
        </is>
      </c>
      <c r="B11" s="26">
        <f>IF(B4*B6=0,0,B3/(B4*B6))</f>
        <v/>
      </c>
      <c r="C11" s="26">
        <f>IF(C4*C6=0,0,C3/(C4*C6))</f>
        <v/>
      </c>
      <c r="D11" s="26">
        <f>IF(D4*D6=0,0,D3/(D4*D6))</f>
        <v/>
      </c>
      <c r="E11" s="26">
        <f>IF(E4*E6=0,0,E3/(E4*E6))</f>
        <v/>
      </c>
      <c r="F11" s="26">
        <f>IF(F4*F6=0,0,F3/(F4*F6))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SnapR - Valuation Scenarios ($M)</t>
        </is>
      </c>
    </row>
    <row r="2">
      <c r="A2" s="11" t="inlineStr">
        <is>
          <t>ARR MULTIPLE METHOD</t>
        </is>
      </c>
      <c r="B2" s="11" t="n"/>
      <c r="C2" s="11" t="n"/>
      <c r="D2" s="11" t="n"/>
    </row>
    <row r="3">
      <c r="A3" s="2" t="inlineStr"/>
      <c r="B3" s="2" t="inlineStr">
        <is>
          <t>Y3 ARR ($M)</t>
        </is>
      </c>
      <c r="C3" s="2" t="inlineStr">
        <is>
          <t>Multiple</t>
        </is>
      </c>
      <c r="D3" s="2" t="inlineStr">
        <is>
          <t>Valuation ($M)</t>
        </is>
      </c>
    </row>
    <row r="4">
      <c r="A4" s="7" t="inlineStr">
        <is>
          <t>Conservative</t>
        </is>
      </c>
      <c r="B4" s="27" t="n">
        <v>6.9</v>
      </c>
      <c r="C4" s="28" t="n">
        <v>6</v>
      </c>
      <c r="D4" s="24">
        <f>B4*C4</f>
        <v/>
      </c>
    </row>
    <row r="5">
      <c r="A5" s="7" t="inlineStr">
        <is>
          <t>Base Case</t>
        </is>
      </c>
      <c r="B5" s="27" t="n">
        <v>6.9</v>
      </c>
      <c r="C5" s="28" t="n">
        <v>8.800000000000001</v>
      </c>
      <c r="D5" s="24">
        <f>B5*C5</f>
        <v/>
      </c>
    </row>
    <row r="6">
      <c r="A6" s="7" t="inlineStr">
        <is>
          <t>Bull Case</t>
        </is>
      </c>
      <c r="B6" s="27" t="n">
        <v>6.9</v>
      </c>
      <c r="C6" s="28" t="n">
        <v>12</v>
      </c>
      <c r="D6" s="24">
        <f>B6*C6</f>
        <v/>
      </c>
    </row>
    <row r="8">
      <c r="A8" s="2" t="inlineStr"/>
      <c r="B8" s="2" t="inlineStr">
        <is>
          <t>Y5 ARR ($M)</t>
        </is>
      </c>
      <c r="C8" s="2" t="inlineStr">
        <is>
          <t>Multiple</t>
        </is>
      </c>
      <c r="D8" s="2" t="inlineStr">
        <is>
          <t>Valuation ($M)</t>
        </is>
      </c>
    </row>
    <row r="9">
      <c r="A9" s="7" t="inlineStr">
        <is>
          <t>Conservative</t>
        </is>
      </c>
      <c r="B9" s="27" t="n">
        <v>36.6</v>
      </c>
      <c r="C9" s="28" t="n">
        <v>5</v>
      </c>
      <c r="D9" s="24">
        <f>B9*C9</f>
        <v/>
      </c>
    </row>
    <row r="10">
      <c r="A10" s="7" t="inlineStr">
        <is>
          <t>Base Case</t>
        </is>
      </c>
      <c r="B10" s="27" t="n">
        <v>36.6</v>
      </c>
      <c r="C10" s="28" t="n">
        <v>8.800000000000001</v>
      </c>
      <c r="D10" s="24">
        <f>B10*C10</f>
        <v/>
      </c>
    </row>
    <row r="11">
      <c r="A11" s="7" t="inlineStr">
        <is>
          <t>Bull Case</t>
        </is>
      </c>
      <c r="B11" s="27" t="n">
        <v>36.6</v>
      </c>
      <c r="C11" s="28" t="n">
        <v>15</v>
      </c>
      <c r="D11" s="24">
        <f>B11*C11</f>
        <v/>
      </c>
    </row>
    <row r="13">
      <c r="A13" s="11" t="inlineStr">
        <is>
          <t>EBITDA MULTIPLE METHOD (Y5)</t>
        </is>
      </c>
      <c r="B13" s="11" t="n"/>
      <c r="C13" s="11" t="n"/>
      <c r="D13" s="11" t="n"/>
    </row>
    <row r="14">
      <c r="A14" s="2" t="inlineStr"/>
      <c r="B14" s="2" t="inlineStr">
        <is>
          <t>Y5 EBITDA ($M)</t>
        </is>
      </c>
      <c r="C14" s="2" t="inlineStr">
        <is>
          <t>Multiple</t>
        </is>
      </c>
      <c r="D14" s="2" t="inlineStr">
        <is>
          <t>Valuation ($M)</t>
        </is>
      </c>
    </row>
    <row r="15">
      <c r="A15" s="7" t="inlineStr">
        <is>
          <t>Conservative</t>
        </is>
      </c>
      <c r="B15" s="27" t="n">
        <v>16.3</v>
      </c>
      <c r="C15" s="28" t="n">
        <v>20</v>
      </c>
      <c r="D15" s="24">
        <f>B15*C15</f>
        <v/>
      </c>
    </row>
    <row r="16">
      <c r="A16" s="7" t="inlineStr">
        <is>
          <t>Base Case</t>
        </is>
      </c>
      <c r="B16" s="27" t="n">
        <v>16.3</v>
      </c>
      <c r="C16" s="28" t="n">
        <v>25</v>
      </c>
      <c r="D16" s="24">
        <f>B16*C16</f>
        <v/>
      </c>
    </row>
    <row r="17">
      <c r="A17" s="7" t="inlineStr">
        <is>
          <t>Bull Case</t>
        </is>
      </c>
      <c r="B17" s="27" t="n">
        <v>16.3</v>
      </c>
      <c r="C17" s="28" t="n">
        <v>30</v>
      </c>
      <c r="D17" s="24">
        <f>B17*C17</f>
        <v/>
      </c>
    </row>
    <row r="19">
      <c r="A19" s="11" t="inlineStr">
        <is>
          <t>FOUNDER RETURNS (Base Case Y5 @ $322M)</t>
        </is>
      </c>
      <c r="B19" s="11" t="n"/>
      <c r="C19" s="11" t="n"/>
      <c r="D19" s="11" t="n"/>
    </row>
    <row r="20">
      <c r="A20" s="2" t="inlineStr">
        <is>
          <t>Stakeholder</t>
        </is>
      </c>
      <c r="B20" s="2" t="inlineStr">
        <is>
          <t>Ownership %</t>
        </is>
      </c>
      <c r="C20" s="2" t="inlineStr">
        <is>
          <t>Value ($M)</t>
        </is>
      </c>
      <c r="D20" t="inlineStr"/>
    </row>
    <row r="21">
      <c r="A21" s="7" t="inlineStr">
        <is>
          <t>Founders</t>
        </is>
      </c>
      <c r="B21" s="8" t="n">
        <v>0.55</v>
      </c>
      <c r="C21" s="24">
        <f>B21*322</f>
        <v/>
      </c>
    </row>
    <row r="22">
      <c r="A22" s="7" t="inlineStr">
        <is>
          <t>Angel Investors</t>
        </is>
      </c>
      <c r="B22" s="8" t="n">
        <v>0.14</v>
      </c>
      <c r="C22" s="24">
        <f>B22*322</f>
        <v/>
      </c>
    </row>
    <row r="23">
      <c r="A23" s="7" t="inlineStr">
        <is>
          <t>Seed Investors</t>
        </is>
      </c>
      <c r="B23" s="8" t="n">
        <v>0.16</v>
      </c>
      <c r="C23" s="24">
        <f>B23*322</f>
        <v/>
      </c>
    </row>
    <row r="24">
      <c r="A24" s="7" t="inlineStr">
        <is>
          <t>Series A</t>
        </is>
      </c>
      <c r="B24" s="8" t="n">
        <v>0.14</v>
      </c>
      <c r="C24" s="24">
        <f>B24*322</f>
        <v/>
      </c>
    </row>
    <row r="25">
      <c r="A25" s="7" t="inlineStr">
        <is>
          <t>ESOP</t>
        </is>
      </c>
      <c r="B25" s="8" t="n">
        <v>0.01</v>
      </c>
      <c r="C25" s="24">
        <f>B25*322</f>
        <v/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SnapR - Sensitivity Analysis</t>
        </is>
      </c>
    </row>
    <row r="2">
      <c r="A2" s="11" t="inlineStr">
        <is>
          <t>CHURN SENSITIVITY</t>
        </is>
      </c>
      <c r="B2" s="11" t="n"/>
      <c r="C2" s="11" t="n"/>
      <c r="D2" s="11" t="n"/>
    </row>
    <row r="3">
      <c r="A3" s="2" t="inlineStr">
        <is>
          <t>Monthly Churn</t>
        </is>
      </c>
      <c r="B3" s="2" t="inlineStr">
        <is>
          <t>Y5 Paid Users</t>
        </is>
      </c>
      <c r="C3" s="2" t="inlineStr">
        <is>
          <t>Y5 Revenue ($M)</t>
        </is>
      </c>
      <c r="D3" s="2" t="inlineStr">
        <is>
          <t>Y5 EBITDA ($M)</t>
        </is>
      </c>
    </row>
    <row r="4">
      <c r="A4" s="29" t="n">
        <v>0.035</v>
      </c>
      <c r="B4" s="12" t="n">
        <v>6500</v>
      </c>
      <c r="C4" s="30" t="n">
        <v>32.8</v>
      </c>
      <c r="D4" s="30" t="n">
        <v>16.3</v>
      </c>
    </row>
    <row r="5">
      <c r="A5" s="29" t="n">
        <v>0.05</v>
      </c>
      <c r="B5" s="12" t="n">
        <v>4800</v>
      </c>
      <c r="C5" s="30" t="n">
        <v>24.2</v>
      </c>
      <c r="D5" s="30" t="n">
        <v>11.1</v>
      </c>
    </row>
    <row r="6">
      <c r="A6" s="29" t="n">
        <v>0.07000000000000001</v>
      </c>
      <c r="B6" s="12" t="n">
        <v>3200</v>
      </c>
      <c r="C6" s="30" t="n">
        <v>16.1</v>
      </c>
      <c r="D6" s="30" t="n">
        <v>4.9</v>
      </c>
    </row>
    <row r="8">
      <c r="A8" s="11" t="inlineStr">
        <is>
          <t>CONVERSION SENSITIVITY</t>
        </is>
      </c>
      <c r="B8" s="11" t="n"/>
      <c r="C8" s="11" t="n"/>
      <c r="D8" s="11" t="n"/>
    </row>
    <row r="9">
      <c r="A9" s="2" t="inlineStr">
        <is>
          <t>Free-&gt;Paid Rate</t>
        </is>
      </c>
      <c r="B9" s="2" t="inlineStr">
        <is>
          <t>Y5 Paid Users</t>
        </is>
      </c>
      <c r="C9" s="2" t="inlineStr">
        <is>
          <t>Y5 Revenue ($M)</t>
        </is>
      </c>
      <c r="D9" s="2" t="inlineStr">
        <is>
          <t>Y5 EBITDA ($M)</t>
        </is>
      </c>
    </row>
    <row r="10">
      <c r="A10" s="29" t="n">
        <v>0.14</v>
      </c>
      <c r="B10" s="12" t="n">
        <v>6500</v>
      </c>
      <c r="C10" s="30" t="n">
        <v>32.8</v>
      </c>
      <c r="D10" s="30" t="n">
        <v>16.3</v>
      </c>
    </row>
    <row r="11">
      <c r="A11" s="29" t="n">
        <v>0.1</v>
      </c>
      <c r="B11" s="12" t="n">
        <v>4600</v>
      </c>
      <c r="C11" s="30" t="n">
        <v>23.2</v>
      </c>
      <c r="D11" s="30" t="n">
        <v>10.5</v>
      </c>
    </row>
    <row r="12">
      <c r="A12" s="29" t="n">
        <v>0.07000000000000001</v>
      </c>
      <c r="B12" s="12" t="n">
        <v>3200</v>
      </c>
      <c r="C12" s="30" t="n">
        <v>16.1</v>
      </c>
      <c r="D12" s="30" t="n">
        <v>4.9</v>
      </c>
    </row>
    <row r="14">
      <c r="A14" s="11" t="inlineStr">
        <is>
          <t>ARPU SENSITIVITY</t>
        </is>
      </c>
      <c r="B14" s="11" t="n"/>
      <c r="C14" s="11" t="n"/>
      <c r="D14" s="11" t="n"/>
    </row>
    <row r="15">
      <c r="A15" s="2" t="inlineStr">
        <is>
          <t>Blended ARPU Y5</t>
        </is>
      </c>
      <c r="B15" s="2" t="inlineStr">
        <is>
          <t>Y5 Revenue ($M)</t>
        </is>
      </c>
      <c r="C15" s="2" t="inlineStr">
        <is>
          <t>Y5 EBITDA ($M)</t>
        </is>
      </c>
      <c r="D15" t="inlineStr"/>
    </row>
    <row r="16">
      <c r="A16" s="31" t="n">
        <v>469</v>
      </c>
      <c r="B16" s="30" t="n">
        <v>32.8</v>
      </c>
      <c r="C16" s="30" t="n">
        <v>16.3</v>
      </c>
    </row>
    <row r="17">
      <c r="A17" s="31" t="n">
        <v>350</v>
      </c>
      <c r="B17" s="30" t="n">
        <v>24.5</v>
      </c>
      <c r="C17" s="30" t="n">
        <v>11.4</v>
      </c>
    </row>
    <row r="18">
      <c r="A18" s="31" t="n">
        <v>250</v>
      </c>
      <c r="B18" s="30" t="n">
        <v>17.5</v>
      </c>
      <c r="C18" s="30" t="n">
        <v>4.4</v>
      </c>
    </row>
    <row r="20">
      <c r="A20" s="11" t="inlineStr">
        <is>
          <t>DOWNSIDE FLOOR (worst-case combo)</t>
        </is>
      </c>
      <c r="B20" s="11" t="n"/>
      <c r="C20" s="11" t="n"/>
      <c r="D20" s="11" t="n"/>
    </row>
    <row r="21">
      <c r="A21" s="32" t="inlineStr">
        <is>
          <t>5% churn + 7% conversion + $250 ARPU</t>
        </is>
      </c>
      <c r="B21" t="inlineStr"/>
      <c r="C21" t="inlineStr"/>
      <c r="D21" t="inlineStr"/>
    </row>
    <row r="22">
      <c r="A22" s="33" t="inlineStr">
        <is>
          <t>~$8M revenue, ~breakeven EBITDA by Y5</t>
        </is>
      </c>
      <c r="B22" t="inlineStr"/>
      <c r="C22" t="inlineStr"/>
      <c r="D22" t="inlineStr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</sheetPr>
  <dimension ref="A1:E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SnapR - Pricing Grid</t>
        </is>
      </c>
    </row>
    <row r="2">
      <c r="A2" s="2" t="inlineStr">
        <is>
          <t>Plan / Billing</t>
        </is>
      </c>
      <c r="B2" s="2" t="inlineStr">
        <is>
          <t>5-50 listings</t>
        </is>
      </c>
      <c r="C2" s="2" t="inlineStr">
        <is>
          <t>75-300 listings</t>
        </is>
      </c>
      <c r="D2" t="inlineStr"/>
    </row>
    <row r="3">
      <c r="A3" s="5" t="inlineStr">
        <is>
          <t>Gold - Pay-as-you-go</t>
        </is>
      </c>
      <c r="B3" s="21" t="inlineStr">
        <is>
          <t>$28/listing</t>
        </is>
      </c>
      <c r="C3" s="21" t="inlineStr">
        <is>
          <t>$28/listing</t>
        </is>
      </c>
    </row>
    <row r="4">
      <c r="A4" s="5" t="inlineStr">
        <is>
          <t>Gold - Monthly</t>
        </is>
      </c>
      <c r="B4" s="21" t="inlineStr">
        <is>
          <t>$20/listing</t>
        </is>
      </c>
      <c r="C4" s="21" t="inlineStr">
        <is>
          <t>$16/listing</t>
        </is>
      </c>
    </row>
    <row r="5">
      <c r="A5" s="5" t="inlineStr">
        <is>
          <t>Gold - Annual</t>
        </is>
      </c>
      <c r="B5" s="21" t="inlineStr">
        <is>
          <t>$16/listing</t>
        </is>
      </c>
      <c r="C5" s="21" t="inlineStr">
        <is>
          <t>$11/listing</t>
        </is>
      </c>
    </row>
    <row r="6">
      <c r="A6" s="5" t="inlineStr">
        <is>
          <t>Platinum - Monthly</t>
        </is>
      </c>
      <c r="B6" s="21" t="inlineStr">
        <is>
          <t>$22/listing</t>
        </is>
      </c>
      <c r="C6" s="21" t="inlineStr">
        <is>
          <t>$18/listing</t>
        </is>
      </c>
    </row>
    <row r="7">
      <c r="A7" s="5" t="inlineStr">
        <is>
          <t>Platinum - Annual</t>
        </is>
      </c>
      <c r="B7" s="21" t="inlineStr">
        <is>
          <t>$18/listing</t>
        </is>
      </c>
      <c r="C7" s="21" t="inlineStr">
        <is>
          <t>$12/listing</t>
        </is>
      </c>
    </row>
    <row r="8">
      <c r="A8" s="5" t="inlineStr">
        <is>
          <t>Enterprise - Monthly</t>
        </is>
      </c>
      <c r="B8" s="21" t="inlineStr">
        <is>
          <t>$299/mo flat</t>
        </is>
      </c>
      <c r="C8" s="21" t="inlineStr">
        <is>
          <t>$299/mo flat</t>
        </is>
      </c>
    </row>
    <row r="9">
      <c r="A9" s="5" t="inlineStr">
        <is>
          <t>Enterprise - Annual</t>
        </is>
      </c>
      <c r="B9" s="21" t="inlineStr">
        <is>
          <t>$249/mo flat</t>
        </is>
      </c>
      <c r="C9" s="21" t="inlineStr">
        <is>
          <t>$249/mo flat</t>
        </is>
      </c>
    </row>
    <row r="11">
      <c r="A11" s="11" t="inlineStr">
        <is>
          <t>ADD-ONS</t>
        </is>
      </c>
      <c r="B11" s="11" t="n"/>
      <c r="C11" s="11" t="n"/>
    </row>
    <row r="12">
      <c r="A12" s="2" t="inlineStr">
        <is>
          <t>Add-on</t>
        </is>
      </c>
      <c r="B12" s="2" t="inlineStr">
        <is>
          <t>Price</t>
        </is>
      </c>
      <c r="C12" s="2" t="inlineStr">
        <is>
          <t>Type</t>
        </is>
      </c>
    </row>
    <row r="13">
      <c r="A13" s="5" t="inlineStr">
        <is>
          <t>Virtual Renovation - Basic</t>
        </is>
      </c>
      <c r="B13" s="21" t="inlineStr">
        <is>
          <t>$15</t>
        </is>
      </c>
      <c r="C13" s="21" t="inlineStr">
        <is>
          <t>One-time</t>
        </is>
      </c>
    </row>
    <row r="14">
      <c r="A14" s="5" t="inlineStr">
        <is>
          <t>Virtual Renovation - Standard</t>
        </is>
      </c>
      <c r="B14" s="21" t="inlineStr">
        <is>
          <t>$25</t>
        </is>
      </c>
      <c r="C14" s="21" t="inlineStr">
        <is>
          <t>One-time</t>
        </is>
      </c>
    </row>
    <row r="15">
      <c r="A15" s="5" t="inlineStr">
        <is>
          <t>Virtual Renovation - Premium</t>
        </is>
      </c>
      <c r="B15" s="21" t="inlineStr">
        <is>
          <t>$50</t>
        </is>
      </c>
      <c r="C15" s="21" t="inlineStr">
        <is>
          <t>One-time</t>
        </is>
      </c>
    </row>
    <row r="16">
      <c r="A16" s="5" t="inlineStr">
        <is>
          <t>Human Editing</t>
        </is>
      </c>
      <c r="B16" s="21" t="inlineStr">
        <is>
          <t>$5/image</t>
        </is>
      </c>
      <c r="C16" s="21" t="inlineStr">
        <is>
          <t>One-time</t>
        </is>
      </c>
    </row>
    <row r="17">
      <c r="A17" s="5" t="inlineStr">
        <is>
          <t>Extra Team Seat</t>
        </is>
      </c>
      <c r="B17" s="21" t="inlineStr">
        <is>
          <t>$25/mo</t>
        </is>
      </c>
      <c r="C17" s="21" t="inlineStr">
        <is>
          <t>Subscription</t>
        </is>
      </c>
    </row>
    <row r="18">
      <c r="A18" s="5" t="inlineStr">
        <is>
          <t>AI Voiceover</t>
        </is>
      </c>
      <c r="B18" s="21" t="inlineStr">
        <is>
          <t>$2 flat</t>
        </is>
      </c>
      <c r="C18" s="21" t="inlineStr">
        <is>
          <t>One-time</t>
        </is>
      </c>
    </row>
    <row r="20">
      <c r="A20" s="11" t="inlineStr">
        <is>
          <t>FEATURE GATES BY TIER</t>
        </is>
      </c>
      <c r="B20" s="11" t="n"/>
      <c r="C20" s="11" t="n"/>
      <c r="D20" s="11" t="n"/>
      <c r="E20" s="11" t="n"/>
    </row>
    <row r="21">
      <c r="A21" s="2" t="inlineStr">
        <is>
          <t>Feature</t>
        </is>
      </c>
      <c r="B21" s="2" t="inlineStr">
        <is>
          <t>Free</t>
        </is>
      </c>
      <c r="C21" s="2" t="inlineStr">
        <is>
          <t>Gold</t>
        </is>
      </c>
      <c r="D21" s="2" t="inlineStr">
        <is>
          <t>Platinum</t>
        </is>
      </c>
      <c r="E21" s="2" t="inlineStr">
        <is>
          <t>Enterprise</t>
        </is>
      </c>
    </row>
    <row r="22">
      <c r="A22" s="7" t="inlineStr">
        <is>
          <t>Listings/mo</t>
        </is>
      </c>
      <c r="B22" s="21" t="inlineStr">
        <is>
          <t>3</t>
        </is>
      </c>
      <c r="C22" s="21" t="inlineStr">
        <is>
          <t>30</t>
        </is>
      </c>
      <c r="D22" s="21" t="inlineStr">
        <is>
          <t>999</t>
        </is>
      </c>
      <c r="E22" s="21" t="inlineStr">
        <is>
          <t>9,999</t>
        </is>
      </c>
    </row>
    <row r="23">
      <c r="A23" s="7" t="inlineStr">
        <is>
          <t>Photos/listing</t>
        </is>
      </c>
      <c r="B23" s="21" t="inlineStr">
        <is>
          <t>30</t>
        </is>
      </c>
      <c r="C23" s="21" t="inlineStr">
        <is>
          <t>75</t>
        </is>
      </c>
      <c r="D23" s="21" t="inlineStr">
        <is>
          <t>75</t>
        </is>
      </c>
      <c r="E23" s="21" t="inlineStr">
        <is>
          <t>200</t>
        </is>
      </c>
    </row>
    <row r="24">
      <c r="A24" s="7" t="inlineStr">
        <is>
          <t>Content Posts/mo</t>
        </is>
      </c>
      <c r="B24" s="21" t="inlineStr">
        <is>
          <t>0</t>
        </is>
      </c>
      <c r="C24" s="21" t="inlineStr">
        <is>
          <t>30</t>
        </is>
      </c>
      <c r="D24" s="21" t="inlineStr">
        <is>
          <t>Unlimited</t>
        </is>
      </c>
      <c r="E24" s="21" t="inlineStr">
        <is>
          <t>Unlimited</t>
        </is>
      </c>
    </row>
    <row r="25">
      <c r="A25" s="7" t="inlineStr">
        <is>
          <t>AI Captions</t>
        </is>
      </c>
      <c r="B25" s="21" t="inlineStr">
        <is>
          <t>0</t>
        </is>
      </c>
      <c r="C25" s="21" t="inlineStr">
        <is>
          <t>50</t>
        </is>
      </c>
      <c r="D25" s="21" t="inlineStr">
        <is>
          <t>Unlimited</t>
        </is>
      </c>
      <c r="E25" s="21" t="inlineStr">
        <is>
          <t>Unlimited</t>
        </is>
      </c>
    </row>
    <row r="26">
      <c r="A26" s="7" t="inlineStr">
        <is>
          <t>Social Publishing</t>
        </is>
      </c>
      <c r="B26" s="34" t="inlineStr">
        <is>
          <t>No</t>
        </is>
      </c>
      <c r="C26" s="35" t="inlineStr">
        <is>
          <t>Yes</t>
        </is>
      </c>
      <c r="D26" s="35" t="inlineStr">
        <is>
          <t>Yes</t>
        </is>
      </c>
      <c r="E26" s="35" t="inlineStr">
        <is>
          <t>Yes</t>
        </is>
      </c>
    </row>
    <row r="27">
      <c r="A27" s="7" t="inlineStr">
        <is>
          <t>Content Studio</t>
        </is>
      </c>
      <c r="B27" s="34" t="inlineStr">
        <is>
          <t>No</t>
        </is>
      </c>
      <c r="C27" s="35" t="inlineStr">
        <is>
          <t>Yes</t>
        </is>
      </c>
      <c r="D27" s="35" t="inlineStr">
        <is>
          <t>Yes</t>
        </is>
      </c>
      <c r="E27" s="35" t="inlineStr">
        <is>
          <t>Yes</t>
        </is>
      </c>
    </row>
    <row r="28">
      <c r="A28" s="7" t="inlineStr">
        <is>
          <t>Video Generation</t>
        </is>
      </c>
      <c r="B28" s="34" t="inlineStr">
        <is>
          <t>No</t>
        </is>
      </c>
      <c r="C28" s="35" t="inlineStr">
        <is>
          <t>Yes</t>
        </is>
      </c>
      <c r="D28" s="35" t="inlineStr">
        <is>
          <t>Yes</t>
        </is>
      </c>
      <c r="E28" s="35" t="inlineStr">
        <is>
          <t>Yes</t>
        </is>
      </c>
    </row>
    <row r="29">
      <c r="A29" s="7" t="inlineStr">
        <is>
          <t>Lead Capture</t>
        </is>
      </c>
      <c r="B29" s="34" t="inlineStr">
        <is>
          <t>No</t>
        </is>
      </c>
      <c r="C29" s="35" t="inlineStr">
        <is>
          <t>Yes</t>
        </is>
      </c>
      <c r="D29" s="35" t="inlineStr">
        <is>
          <t>Yes</t>
        </is>
      </c>
      <c r="E29" s="35" t="inlineStr">
        <is>
          <t>Yes</t>
        </is>
      </c>
    </row>
    <row r="30">
      <c r="A30" s="7" t="inlineStr">
        <is>
          <t>Embed Widgets</t>
        </is>
      </c>
      <c r="B30" s="34" t="inlineStr">
        <is>
          <t>No</t>
        </is>
      </c>
      <c r="C30" s="34" t="inlineStr">
        <is>
          <t>No</t>
        </is>
      </c>
      <c r="D30" s="35" t="inlineStr">
        <is>
          <t>Yes</t>
        </is>
      </c>
      <c r="E30" s="35" t="inlineStr">
        <is>
          <t>Yes</t>
        </is>
      </c>
    </row>
    <row r="31">
      <c r="A31" s="7" t="inlineStr">
        <is>
          <t>Public API v1</t>
        </is>
      </c>
      <c r="B31" s="34" t="inlineStr">
        <is>
          <t>No</t>
        </is>
      </c>
      <c r="C31" s="34" t="inlineStr">
        <is>
          <t>No</t>
        </is>
      </c>
      <c r="D31" s="34" t="inlineStr">
        <is>
          <t>No</t>
        </is>
      </c>
      <c r="E31" s="35" t="inlineStr">
        <is>
          <t>Yes</t>
        </is>
      </c>
    </row>
    <row r="32">
      <c r="A32" s="7" t="inlineStr">
        <is>
          <t>Custom Domain</t>
        </is>
      </c>
      <c r="B32" s="34" t="inlineStr">
        <is>
          <t>No</t>
        </is>
      </c>
      <c r="C32" s="34" t="inlineStr">
        <is>
          <t>No</t>
        </is>
      </c>
      <c r="D32" s="34" t="inlineStr">
        <is>
          <t>No</t>
        </is>
      </c>
      <c r="E32" s="35" t="inlineStr">
        <is>
          <t>Yes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SnapR - Cash Flow &amp; Funding ($000s)</t>
        </is>
      </c>
    </row>
    <row r="2">
      <c r="A2" s="2" t="inlineStr"/>
      <c r="B2" s="2" t="inlineStr">
        <is>
          <t>Y1 (2026)</t>
        </is>
      </c>
      <c r="C2" s="2" t="inlineStr">
        <is>
          <t>Y2 (2027)</t>
        </is>
      </c>
      <c r="D2" s="2" t="inlineStr">
        <is>
          <t>Y3 (2028)</t>
        </is>
      </c>
      <c r="E2" s="2" t="inlineStr">
        <is>
          <t>Y4 (2029)</t>
        </is>
      </c>
      <c r="F2" s="2" t="inlineStr">
        <is>
          <t>Y5 (2030)</t>
        </is>
      </c>
    </row>
    <row r="3">
      <c r="A3" s="3" t="inlineStr">
        <is>
          <t>Free Cash Flow</t>
        </is>
      </c>
      <c r="B3" s="6" t="n">
        <v>-54</v>
      </c>
      <c r="C3" s="6" t="n">
        <v>-166</v>
      </c>
      <c r="D3" s="6" t="n">
        <v>833</v>
      </c>
      <c r="E3" s="6" t="n">
        <v>4948</v>
      </c>
      <c r="F3" s="6" t="n">
        <v>16298</v>
      </c>
    </row>
    <row r="4">
      <c r="A4" s="3" t="inlineStr">
        <is>
          <t>Cumulative Cash (unfunded)</t>
        </is>
      </c>
      <c r="B4" s="6">
        <f>B3</f>
        <v/>
      </c>
      <c r="C4" s="6">
        <f>B4+C3</f>
        <v/>
      </c>
      <c r="D4" s="6">
        <f>C4+D3</f>
        <v/>
      </c>
      <c r="E4" s="6">
        <f>D4+E3</f>
        <v/>
      </c>
      <c r="F4" s="6">
        <f>E4+F3</f>
        <v/>
      </c>
    </row>
    <row r="6">
      <c r="A6" s="11" t="inlineStr">
        <is>
          <t>FUNDING ROUNDS</t>
        </is>
      </c>
      <c r="B6" s="11" t="n"/>
      <c r="C6" s="11" t="n"/>
      <c r="D6" s="11" t="n"/>
      <c r="E6" s="11" t="n"/>
      <c r="F6" s="11" t="n"/>
    </row>
    <row r="7">
      <c r="A7" s="2" t="inlineStr">
        <is>
          <t>Round</t>
        </is>
      </c>
      <c r="B7" s="2" t="inlineStr">
        <is>
          <t>Timing</t>
        </is>
      </c>
      <c r="C7" s="2" t="inlineStr">
        <is>
          <t>Amount</t>
        </is>
      </c>
      <c r="D7" s="2" t="inlineStr">
        <is>
          <t>Pre-money Val</t>
        </is>
      </c>
      <c r="E7" s="2" t="inlineStr">
        <is>
          <t>Dilution</t>
        </is>
      </c>
      <c r="F7" s="2" t="inlineStr">
        <is>
          <t>Use</t>
        </is>
      </c>
    </row>
    <row r="8">
      <c r="A8" s="5" t="inlineStr">
        <is>
          <t>Bootstrap</t>
        </is>
      </c>
      <c r="B8" s="21" t="inlineStr">
        <is>
          <t>Y1 Q1</t>
        </is>
      </c>
      <c r="C8" s="21" t="inlineStr">
        <is>
          <t>$0</t>
        </is>
      </c>
      <c r="D8" s="21" t="inlineStr">
        <is>
          <t>--</t>
        </is>
      </c>
      <c r="E8" s="21" t="inlineStr">
        <is>
          <t>0%</t>
        </is>
      </c>
      <c r="F8" s="21" t="inlineStr">
        <is>
          <t>MVP (already built)</t>
        </is>
      </c>
    </row>
    <row r="9">
      <c r="A9" s="5" t="inlineStr">
        <is>
          <t>Angel / Pre-seed</t>
        </is>
      </c>
      <c r="B9" s="21" t="inlineStr">
        <is>
          <t>Y1 Q2</t>
        </is>
      </c>
      <c r="C9" s="21" t="inlineStr">
        <is>
          <t>$300K</t>
        </is>
      </c>
      <c r="D9" s="21" t="inlineStr">
        <is>
          <t>$1.5M</t>
        </is>
      </c>
      <c r="E9" s="21" t="inlineStr">
        <is>
          <t>17%</t>
        </is>
      </c>
      <c r="F9" s="21" t="inlineStr">
        <is>
          <t>First hire, paid acq</t>
        </is>
      </c>
    </row>
    <row r="10">
      <c r="A10" s="5" t="inlineStr">
        <is>
          <t>Seed</t>
        </is>
      </c>
      <c r="B10" s="21" t="inlineStr">
        <is>
          <t>Y2 Q1</t>
        </is>
      </c>
      <c r="C10" s="21" t="inlineStr">
        <is>
          <t>$2M</t>
        </is>
      </c>
      <c r="D10" s="21" t="inlineStr">
        <is>
          <t>$8M</t>
        </is>
      </c>
      <c r="E10" s="21" t="inlineStr">
        <is>
          <t>20%</t>
        </is>
      </c>
      <c r="F10" s="21" t="inlineStr">
        <is>
          <t>Team scale</t>
        </is>
      </c>
    </row>
    <row r="11">
      <c r="A11" s="5" t="inlineStr">
        <is>
          <t>Series A</t>
        </is>
      </c>
      <c r="B11" s="21" t="inlineStr">
        <is>
          <t>Y3 Q2</t>
        </is>
      </c>
      <c r="C11" s="21" t="inlineStr">
        <is>
          <t>$10M</t>
        </is>
      </c>
      <c r="D11" s="21" t="inlineStr">
        <is>
          <t>$50M</t>
        </is>
      </c>
      <c r="E11" s="21" t="inlineStr">
        <is>
          <t>17%</t>
        </is>
      </c>
      <c r="F11" s="21" t="inlineStr">
        <is>
          <t>Enterprise + intl</t>
        </is>
      </c>
    </row>
    <row r="12">
      <c r="A12" s="5" t="inlineStr">
        <is>
          <t>Series B (optional)</t>
        </is>
      </c>
      <c r="B12" s="21" t="inlineStr">
        <is>
          <t>Y5 Q1</t>
        </is>
      </c>
      <c r="C12" s="21" t="inlineStr">
        <is>
          <t>$30M</t>
        </is>
      </c>
      <c r="D12" s="21" t="inlineStr">
        <is>
          <t>$250M</t>
        </is>
      </c>
      <c r="E12" s="21" t="inlineStr">
        <is>
          <t>11%</t>
        </is>
      </c>
      <c r="F12" s="21" t="inlineStr">
        <is>
          <t>Market domination</t>
        </is>
      </c>
    </row>
    <row r="14">
      <c r="A14" s="11" t="inlineStr">
        <is>
          <t>CAP TABLE (Post-Series A)</t>
        </is>
      </c>
      <c r="B14" s="11" t="n"/>
      <c r="C14" s="11" t="n"/>
      <c r="D14" s="11" t="n"/>
      <c r="E14" s="11" t="n"/>
      <c r="F14" s="11" t="n"/>
    </row>
    <row r="15">
      <c r="A15" s="2" t="inlineStr">
        <is>
          <t>Stakeholder</t>
        </is>
      </c>
      <c r="B15" s="2" t="inlineStr">
        <is>
          <t>Ownership</t>
        </is>
      </c>
      <c r="C15" s="2" t="inlineStr">
        <is>
          <t>At $322M Val ($M)</t>
        </is>
      </c>
      <c r="D15" t="inlineStr"/>
      <c r="E15" t="inlineStr"/>
      <c r="F15" t="inlineStr"/>
    </row>
    <row r="16">
      <c r="A16" s="7" t="inlineStr">
        <is>
          <t>Founders</t>
        </is>
      </c>
      <c r="B16" s="8" t="n">
        <v>0.55</v>
      </c>
      <c r="C16" s="24">
        <f>B16*322</f>
        <v/>
      </c>
    </row>
    <row r="17">
      <c r="A17" s="7" t="inlineStr">
        <is>
          <t>Angel Investors</t>
        </is>
      </c>
      <c r="B17" s="8" t="n">
        <v>0.14</v>
      </c>
      <c r="C17" s="24">
        <f>B17*322</f>
        <v/>
      </c>
    </row>
    <row r="18">
      <c r="A18" s="7" t="inlineStr">
        <is>
          <t>Seed Investors</t>
        </is>
      </c>
      <c r="B18" s="8" t="n">
        <v>0.16</v>
      </c>
      <c r="C18" s="24">
        <f>B18*322</f>
        <v/>
      </c>
    </row>
    <row r="19">
      <c r="A19" s="7" t="inlineStr">
        <is>
          <t>Series A</t>
        </is>
      </c>
      <c r="B19" s="8" t="n">
        <v>0.14</v>
      </c>
      <c r="C19" s="24">
        <f>B19*322</f>
        <v/>
      </c>
    </row>
    <row r="20">
      <c r="A20" s="7" t="inlineStr">
        <is>
          <t>ESOP</t>
        </is>
      </c>
      <c r="B20" s="8" t="n">
        <v>0.01</v>
      </c>
      <c r="C20" s="24">
        <f>B20*322</f>
        <v/>
      </c>
    </row>
    <row r="22">
      <c r="A22" s="36" t="inlineStr">
        <is>
          <t>Key Insight: With just $300K angel, SnapR is profitable</t>
        </is>
      </c>
    </row>
    <row r="23">
      <c r="A23" s="36" t="inlineStr">
        <is>
          <t>by month 22. Seed + Series A are for acceleration,</t>
        </is>
      </c>
    </row>
    <row r="24">
      <c r="A24" s="36" t="inlineStr">
        <is>
          <t>not survival.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2026-03-20T07:23:35Z</dcterms:created>
  <dcterms:modified xmlns:dcterms="http://purl.org/dc/terms/" xmlns:xsi="http://www.w3.org/2001/XMLSchema-instance" xsi:type="dcterms:W3CDTF">2026-03-20T07:23:35Z</dcterms:modified>
</cp:coreProperties>
</file>